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12D6067C-E4F2-4985-9EC8-146E3B96E24B}" xr6:coauthVersionLast="47" xr6:coauthVersionMax="47" xr10:uidLastSave="{00000000-0000-0000-0000-000000000000}"/>
  <bookViews>
    <workbookView xWindow="-120" yWindow="-120" windowWidth="29040" windowHeight="15720" xr2:uid="{28436C79-FAE6-4B9F-8387-4467236A3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l="1"/>
</calcChain>
</file>

<file path=xl/sharedStrings.xml><?xml version="1.0" encoding="utf-8"?>
<sst xmlns="http://schemas.openxmlformats.org/spreadsheetml/2006/main" count="10" uniqueCount="10">
  <si>
    <t>carry = yield - funding                                    or                                                                               F = S*e^(y-r)*t</t>
  </si>
  <si>
    <t>student-carry-vs-market</t>
  </si>
  <si>
    <t>Inputs</t>
  </si>
  <si>
    <t>yield (or domestic rate)</t>
  </si>
  <si>
    <t>funding (or foreign rate)</t>
  </si>
  <si>
    <t>spot price</t>
  </si>
  <si>
    <t>Market Fut Price</t>
  </si>
  <si>
    <t>Days To Expiry</t>
  </si>
  <si>
    <t>Ideal Fut Price</t>
  </si>
  <si>
    <t>Market - Ideal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</si>
</sst>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Ideal vs Market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Market Futures Price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Sheet1!$A$9:$A$18</c:f>
              <c:numCache>
                <c:formatCode>General</c:formatCode>
                <c:ptCount val="10"/>
                <c:pt idx="0">
                  <c:v>23</c:v>
                </c:pt>
                <c:pt idx="1">
                  <c:v>115</c:v>
                </c:pt>
                <c:pt idx="2">
                  <c:v>206</c:v>
                </c:pt>
              </c:numCache>
            </c:numRef>
          </c:xVal>
          <c:yVal>
            <c:numRef>
              <c:f>Sheet1!$B$9:$B$18</c:f>
              <c:numCache>
                <c:formatCode>General</c:formatCode>
                <c:ptCount val="10"/>
                <c:pt idx="0">
                  <c:v>7537</c:v>
                </c:pt>
                <c:pt idx="1">
                  <c:v>7598.5</c:v>
                </c:pt>
                <c:pt idx="2">
                  <c:v>7660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7-4A4C-AED6-FA16FFD69EFC}"/>
            </c:ext>
          </c:extLst>
        </c:ser>
        <c:ser>
          <c:idx val="1"/>
          <c:order val="1"/>
          <c:tx>
            <c:v>Ideal Futures Price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Sheet1!$A$9:$A$18</c:f>
              <c:numCache>
                <c:formatCode>General</c:formatCode>
                <c:ptCount val="10"/>
                <c:pt idx="0">
                  <c:v>23</c:v>
                </c:pt>
                <c:pt idx="1">
                  <c:v>115</c:v>
                </c:pt>
                <c:pt idx="2">
                  <c:v>206</c:v>
                </c:pt>
              </c:numCache>
            </c:numRef>
          </c:xVal>
          <c:yVal>
            <c:numRef>
              <c:f>Sheet1!$C$9:$C$18</c:f>
              <c:numCache>
                <c:formatCode>General</c:formatCode>
                <c:ptCount val="10"/>
                <c:pt idx="0">
                  <c:v>7531.0219796624788</c:v>
                </c:pt>
                <c:pt idx="1">
                  <c:v>7578.8185926353972</c:v>
                </c:pt>
                <c:pt idx="2">
                  <c:v>7626.3940898294832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7-4A4C-AED6-FA16FFD69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75855"/>
        <c:axId val="225076335"/>
      </c:scatterChart>
      <c:valAx>
        <c:axId val="22507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76335"/>
        <c:crosses val="autoZero"/>
        <c:crossBetween val="midCat"/>
      </c:valAx>
      <c:valAx>
        <c:axId val="2250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7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261937</xdr:rowOff>
    </xdr:from>
    <xdr:to>
      <xdr:col>20</xdr:col>
      <xdr:colOff>323850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D66EE-4DBC-FD16-5A20-0039E51F2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D012-4E2D-4CCB-8B83-9CDE982DD23F}">
  <dimension ref="A1:D18"/>
  <sheetViews>
    <sheetView tabSelected="1" workbookViewId="0">
      <selection activeCell="A12" sqref="A12"/>
    </sheetView>
  </sheetViews>
  <sheetFormatPr defaultRowHeight="15" x14ac:dyDescent="0.25"/>
  <cols>
    <col min="1" max="1" width="25.140625" customWidth="1"/>
    <col min="2" max="2" width="16.28515625" customWidth="1"/>
    <col min="3" max="3" width="14.140625" customWidth="1"/>
    <col min="4" max="4" width="12.85546875" customWidth="1"/>
  </cols>
  <sheetData>
    <row r="1" spans="1:4" ht="39.75" customHeight="1" x14ac:dyDescent="0.25">
      <c r="A1" s="1" t="s">
        <v>1</v>
      </c>
    </row>
    <row r="2" spans="1:4" ht="50.25" customHeight="1" x14ac:dyDescent="0.25">
      <c r="A2" s="7" t="s">
        <v>0</v>
      </c>
    </row>
    <row r="3" spans="1:4" ht="37.5" customHeight="1" x14ac:dyDescent="0.25">
      <c r="A3" s="2" t="s">
        <v>2</v>
      </c>
    </row>
    <row r="4" spans="1:4" ht="24.75" customHeight="1" x14ac:dyDescent="0.25">
      <c r="A4" t="s">
        <v>5</v>
      </c>
      <c r="B4" s="3">
        <v>7519.12</v>
      </c>
    </row>
    <row r="5" spans="1:4" ht="25.5" customHeight="1" x14ac:dyDescent="0.25">
      <c r="A5" t="s">
        <v>3</v>
      </c>
      <c r="B5" s="3">
        <v>3.5499999999999997E-2</v>
      </c>
    </row>
    <row r="6" spans="1:4" ht="23.25" customHeight="1" x14ac:dyDescent="0.25">
      <c r="A6" t="s">
        <v>4</v>
      </c>
      <c r="B6" s="3">
        <v>1.04E-2</v>
      </c>
    </row>
    <row r="7" spans="1:4" ht="25.5" customHeight="1" x14ac:dyDescent="0.25"/>
    <row r="8" spans="1:4" ht="37.5" customHeight="1" x14ac:dyDescent="0.25">
      <c r="A8" s="2" t="s">
        <v>7</v>
      </c>
      <c r="B8" s="2" t="s">
        <v>6</v>
      </c>
      <c r="C8" s="4" t="s">
        <v>8</v>
      </c>
      <c r="D8" s="5" t="s">
        <v>9</v>
      </c>
    </row>
    <row r="9" spans="1:4" ht="27.75" customHeight="1" x14ac:dyDescent="0.25">
      <c r="A9" s="3">
        <v>23</v>
      </c>
      <c r="B9" s="3">
        <v>7537</v>
      </c>
      <c r="C9" s="6">
        <f>IF(A9="",NA(),B4*EXP(((B5-B6)*(A9/365))))</f>
        <v>7531.0219796624788</v>
      </c>
      <c r="D9" s="6">
        <f>B9-C9</f>
        <v>5.9780203375212295</v>
      </c>
    </row>
    <row r="10" spans="1:4" ht="24" customHeight="1" x14ac:dyDescent="0.25">
      <c r="A10" s="3">
        <v>115</v>
      </c>
      <c r="B10" s="3">
        <v>7598.5</v>
      </c>
      <c r="C10" s="6">
        <f>IF(A10="",NA(),B4*EXP(((B5-B6)*(A10/365))))</f>
        <v>7578.8185926353972</v>
      </c>
      <c r="D10" s="6">
        <f>B10-C10</f>
        <v>19.681407364602819</v>
      </c>
    </row>
    <row r="11" spans="1:4" ht="24" customHeight="1" x14ac:dyDescent="0.25">
      <c r="A11" s="3">
        <v>206</v>
      </c>
      <c r="B11" s="3">
        <v>7660</v>
      </c>
      <c r="C11" s="6">
        <f>IF(A11="",NA(),B4*EXP(((B5-B6)*(A11/365))))</f>
        <v>7626.3940898294832</v>
      </c>
      <c r="D11" s="6">
        <f>B11-C11</f>
        <v>33.605910170516836</v>
      </c>
    </row>
    <row r="12" spans="1:4" ht="25.5" customHeight="1" x14ac:dyDescent="0.25">
      <c r="A12" s="3"/>
      <c r="B12" s="3"/>
      <c r="C12" s="6" t="e">
        <f>IF(A12="",NA(),B4*EXP(((B5-B6)*(A12/365))))</f>
        <v>#N/A</v>
      </c>
      <c r="D12" s="6" t="e">
        <f>B12-C12</f>
        <v>#N/A</v>
      </c>
    </row>
    <row r="13" spans="1:4" ht="23.25" customHeight="1" x14ac:dyDescent="0.25">
      <c r="A13" s="3"/>
      <c r="B13" s="3"/>
      <c r="C13" s="6" t="e">
        <f>IF(A13="",NA(),B4*EXP(((B5-B6)*(A13/365))))</f>
        <v>#N/A</v>
      </c>
      <c r="D13" s="6" t="e">
        <f>B13-C13</f>
        <v>#N/A</v>
      </c>
    </row>
    <row r="14" spans="1:4" ht="27.75" customHeight="1" x14ac:dyDescent="0.25">
      <c r="A14" s="3"/>
      <c r="B14" s="3"/>
      <c r="C14" s="8" t="e">
        <f>IF(A14="",NA(),B4*EXP(((B5-B6)*(A14/365))))</f>
        <v>#N/A</v>
      </c>
      <c r="D14" s="8" t="e">
        <f>B14-C14</f>
        <v>#N/A</v>
      </c>
    </row>
    <row r="15" spans="1:4" ht="28.5" customHeight="1" x14ac:dyDescent="0.25">
      <c r="A15" s="3"/>
      <c r="B15" s="3"/>
      <c r="C15" s="8" t="e">
        <f>IF(A15="",NA(),B4*EXP(((B5-B6)*(A15/365))))</f>
        <v>#N/A</v>
      </c>
      <c r="D15" s="8" t="e">
        <f>B15-C15</f>
        <v>#N/A</v>
      </c>
    </row>
    <row r="16" spans="1:4" ht="26.25" customHeight="1" x14ac:dyDescent="0.25">
      <c r="A16" s="3"/>
      <c r="B16" s="3"/>
      <c r="C16" s="8" t="e">
        <f>IF(A16="",NA(),B4*EXP(((B5-B6)*(A16/365))))</f>
        <v>#N/A</v>
      </c>
      <c r="D16" s="8" t="e">
        <f>B16-C16</f>
        <v>#N/A</v>
      </c>
    </row>
    <row r="17" spans="1:4" ht="30" customHeight="1" x14ac:dyDescent="0.25">
      <c r="A17" s="3"/>
      <c r="B17" s="3"/>
      <c r="C17" s="8" t="e">
        <f>IF(A17="",NA(),B4*EXP(((B5-B6)*(A17/365))))</f>
        <v>#N/A</v>
      </c>
      <c r="D17" s="8" t="e">
        <f>B17-C17</f>
        <v>#N/A</v>
      </c>
    </row>
    <row r="18" spans="1:4" ht="30" customHeight="1" x14ac:dyDescent="0.25">
      <c r="A18" s="3"/>
      <c r="B18" s="3"/>
      <c r="C18" s="8" t="e">
        <f>IF(A18="",NA(),B4*EXP(((B5-B6)*(A18/365))))</f>
        <v>#N/A</v>
      </c>
      <c r="D18" s="8" t="e">
        <f>B18-C18</f>
        <v>#N/A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346869-DF08-4EFA-BAC8-FC0FA7F2A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8D7EC9-5BE7-4F88-BA8A-96C8731552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AFCD2D-2D26-4F1E-A791-D8699B42F948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aa22a689-7505-4716-b802-371d38c763e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2026-05-26T22:19:45Z</dcterms:created>
  <dcterms:modified xsi:type="dcterms:W3CDTF">2026-05-27T01:19:24Z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